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启动预算计算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<sst xmlns="http://schemas.openxmlformats.org/spreadsheetml/2006/main" count="88" uniqueCount="49">
  <si>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AI新公司第一年启动预算计算器</t>
  </si>
  <si>
    <t>填写说明：在「预算金额」列填入预估金额，公式自动计算合计和占收比</t>
  </si>
  <si>
    <t>支出类别</t>
  </si>
  <si>
    <t>支出项目</t>
  </si>
  <si>
    <t>是否必需</t>
  </si>
  <si>
    <t>预算金额（元）</t>
  </si>
  <si>
    <t>占收比估算</t>
  </si>
  <si>
    <t>备注</t>
  </si>
  <si>
    <t>一、注册登记</t>
  </si>
  <si>
    <t>公司注册/执照</t>
  </si>
  <si>
    <t>必需</t>
  </si>
  <si>
    <t/>
  </si>
  <si>
    <t>银行开户/对公账户</t>
  </si>
  <si>
    <t>商标注册</t>
  </si>
  <si>
    <t>推荐</t>
  </si>
  <si>
    <t>可选</t>
  </si>
  <si>
    <t>二、场地办公</t>
  </si>
  <si>
    <t>办公室租金（首年）</t>
  </si>
  <si>
    <t>可共享办公</t>
  </si>
  <si>
    <t>办公设备/家具</t>
  </si>
  <si>
    <t>网络/水电押金</t>
  </si>
  <si>
    <t>三、人员薪酬</t>
  </si>
  <si>
    <t>接班人薪资（12个月）</t>
  </si>
  <si>
    <t>建议市场价50%</t>
  </si>
  <si>
    <t>核心员工1（技术）</t>
  </si>
  <si>
    <t>核心员工2（业务）</t>
  </si>
  <si>
    <t>兼职/顾问</t>
  </si>
  <si>
    <t>四、技术工具</t>
  </si>
  <si>
    <t>AI工具订阅（年付）</t>
  </si>
  <si>
    <t>ChatGPT/Claude等</t>
  </si>
  <si>
    <t>软件授权/云服务</t>
  </si>
  <si>
    <t>定制化开发</t>
  </si>
  <si>
    <t>MVP优先</t>
  </si>
  <si>
    <t>五、市场推广</t>
  </si>
  <si>
    <t>品牌建设/官网</t>
  </si>
  <si>
    <t>广告投放测试</t>
  </si>
  <si>
    <t>首年试跑</t>
  </si>
  <si>
    <t>内容制作</t>
  </si>
  <si>
    <t>六、流动资金</t>
  </si>
  <si>
    <t>备用金（3个月运营）</t>
  </si>
  <si>
    <t>意外支出预留</t>
  </si>
  <si>
    <t>合计</t>
  </si>
  <si>
    <t>分级启动方案</t>
  </si>
  <si>
    <t>极简版（5-10万）</t>
  </si>
  <si>
    <t>保留：注册+核心工具+接班人半职</t>
  </si>
  <si>
    <t>标准版（20-35万）</t>
  </si>
  <si>
    <t>保留：小型团队+完整工具链+基础推广</t>
  </si>
  <si>
    <t>完整版（50-80万）</t>
  </si>
  <si>
    <t>保留：完整团队+定制开发+规模推广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</si>
</sst>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sz val="9"/>
      <color rgb="FF7F7F7F"/>
      <name val="微软雅黑"/>
      <charset val="134"/>
    </font>
    <font>
      <b/>
      <sz val="10"/>
      <color rgb="FFFFFFFF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0" fontId="0" fillId="0" borderId="0" xfId="0" applyNumberFormat="1"/>
    <xf numFmtId="4" fontId="4" fillId="0" borderId="0" xfId="0" applyNumberFormat="1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A1" sqref="A1:F1"/>
    </sheetView>
  </sheetViews>
  <sheetFormatPr defaultColWidth="9" defaultRowHeight="13.5" outlineLevelCol="5"/>
  <cols>
    <col min="1" max="1" width="18" customWidth="1"/>
    <col min="2" max="2" width="25" customWidth="1"/>
    <col min="3" max="3" width="10" customWidth="1"/>
    <col min="4" max="4" width="16" customWidth="1"/>
    <col min="5" max="5" width="14" customWidth="1"/>
    <col min="6" max="6" width="20" customWidth="1"/>
  </cols>
  <sheetData>
    <row r="1" ht="21.75" spans="1:6">
      <c r="A1" s="1" t="s">
        <v>0</v>
      </c>
    </row>
    <row r="2" ht="14.25" spans="1:6">
      <c r="A2" s="2" t="s">
        <v>1</v>
      </c>
    </row>
    <row r="3" ht="16.5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t="s">
        <v>8</v>
      </c>
      <c r="B4" t="s">
        <v>9</v>
      </c>
      <c r="C4" t="s">
        <v>10</v>
      </c>
      <c r="D4">
        <v>5000</v>
      </c>
      <c r="E4" s="4">
        <f>D4/10000</f>
        <v>0.5</v>
      </c>
      <c r="F4" t="s">
        <v>11</v>
      </c>
    </row>
    <row r="5" spans="1:6">
      <c r="A5" t="s">
        <v>8</v>
      </c>
      <c r="B5" t="s">
        <v>12</v>
      </c>
      <c r="C5" t="s">
        <v>10</v>
      </c>
      <c r="D5">
        <v>2000</v>
      </c>
      <c r="E5" s="4">
        <f>D5/10000</f>
        <v>0.2</v>
      </c>
      <c r="F5" t="s">
        <v>11</v>
      </c>
    </row>
    <row r="6" spans="1:6">
      <c r="A6" t="s">
        <v>8</v>
      </c>
      <c r="B6" t="s">
        <v>13</v>
      </c>
      <c r="C6" t="s">
        <v>14</v>
      </c>
      <c r="D6">
        <v>3000</v>
      </c>
      <c r="E6" s="4">
        <f>D6/10000</f>
        <v>0.3</v>
      </c>
      <c r="F6" t="s">
        <v>15</v>
      </c>
    </row>
    <row r="7" spans="1:6">
      <c r="A7" t="s">
        <v>16</v>
      </c>
      <c r="B7" t="s">
        <v>17</v>
      </c>
      <c r="C7" t="s">
        <v>10</v>
      </c>
      <c r="D7">
        <v>60000</v>
      </c>
      <c r="E7" s="4">
        <f>D8/10000</f>
        <v>3</v>
      </c>
      <c r="F7" t="s">
        <v>18</v>
      </c>
    </row>
    <row r="8" spans="1:6">
      <c r="A8" t="s">
        <v>16</v>
      </c>
      <c r="B8" t="s">
        <v>19</v>
      </c>
      <c r="C8" t="s">
        <v>10</v>
      </c>
      <c r="D8">
        <v>30000</v>
      </c>
      <c r="E8" s="4">
        <f>D9/10000</f>
        <v>0.5</v>
      </c>
      <c r="F8" t="s">
        <v>11</v>
      </c>
    </row>
    <row r="9" spans="1:6">
      <c r="A9" t="s">
        <v>16</v>
      </c>
      <c r="B9" t="s">
        <v>20</v>
      </c>
      <c r="C9" t="s">
        <v>10</v>
      </c>
      <c r="D9">
        <v>5000</v>
      </c>
      <c r="E9" s="4">
        <f>D10/10000</f>
        <v>24</v>
      </c>
      <c r="F9" t="s">
        <v>11</v>
      </c>
    </row>
    <row r="10" spans="1:6">
      <c r="A10" t="s">
        <v>21</v>
      </c>
      <c r="B10" t="s">
        <v>22</v>
      </c>
      <c r="C10" t="s">
        <v>10</v>
      </c>
      <c r="D10">
        <v>240000</v>
      </c>
      <c r="E10" s="4">
        <f>D12/10000</f>
        <v>15</v>
      </c>
      <c r="F10" t="s">
        <v>23</v>
      </c>
    </row>
    <row r="11" spans="1:6">
      <c r="A11" t="s">
        <v>21</v>
      </c>
      <c r="B11" t="s">
        <v>24</v>
      </c>
      <c r="C11" t="s">
        <v>14</v>
      </c>
      <c r="D11">
        <v>180000</v>
      </c>
      <c r="E11" s="4">
        <f>D13/10000</f>
        <v>6</v>
      </c>
      <c r="F11" t="s">
        <v>11</v>
      </c>
    </row>
    <row r="12" spans="1:6">
      <c r="A12" t="s">
        <v>21</v>
      </c>
      <c r="B12" t="s">
        <v>25</v>
      </c>
      <c r="C12" t="s">
        <v>14</v>
      </c>
      <c r="D12">
        <v>150000</v>
      </c>
      <c r="E12" s="4">
        <f>D14/10000</f>
        <v>2.4</v>
      </c>
      <c r="F12" t="s">
        <v>11</v>
      </c>
    </row>
    <row r="13" spans="1:6">
      <c r="A13" t="s">
        <v>21</v>
      </c>
      <c r="B13" t="s">
        <v>26</v>
      </c>
      <c r="C13" t="s">
        <v>15</v>
      </c>
      <c r="D13">
        <v>60000</v>
      </c>
      <c r="E13" s="4">
        <f>D15/10000</f>
        <v>3.6</v>
      </c>
      <c r="F13" t="s">
        <v>11</v>
      </c>
    </row>
    <row r="14" spans="1:6">
      <c r="A14" t="s">
        <v>27</v>
      </c>
      <c r="B14" t="s">
        <v>28</v>
      </c>
      <c r="C14" t="s">
        <v>10</v>
      </c>
      <c r="D14">
        <v>24000</v>
      </c>
      <c r="E14" s="4">
        <f>D17/10000</f>
        <v>2</v>
      </c>
      <c r="F14" t="s">
        <v>29</v>
      </c>
    </row>
    <row r="15" spans="1:6">
      <c r="A15" t="s">
        <v>27</v>
      </c>
      <c r="B15" t="s">
        <v>30</v>
      </c>
      <c r="C15" t="s">
        <v>10</v>
      </c>
      <c r="D15">
        <v>36000</v>
      </c>
      <c r="E15" s="4">
        <f>D18/10000</f>
        <v>5</v>
      </c>
      <c r="F15" t="s">
        <v>11</v>
      </c>
    </row>
    <row r="16" spans="1:6">
      <c r="A16" t="s">
        <v>27</v>
      </c>
      <c r="B16" t="s">
        <v>31</v>
      </c>
      <c r="C16" t="s">
        <v>15</v>
      </c>
      <c r="D16">
        <v>50000</v>
      </c>
      <c r="E16" s="4">
        <f>D19/10000</f>
        <v>3</v>
      </c>
      <c r="F16" t="s">
        <v>32</v>
      </c>
    </row>
    <row r="17" spans="1:6">
      <c r="A17" t="s">
        <v>33</v>
      </c>
      <c r="B17" t="s">
        <v>34</v>
      </c>
      <c r="C17" t="s">
        <v>14</v>
      </c>
      <c r="D17">
        <v>20000</v>
      </c>
      <c r="E17" s="4">
        <f>D21/10000</f>
        <v>5</v>
      </c>
      <c r="F17" t="s">
        <v>11</v>
      </c>
    </row>
    <row r="18" spans="1:6">
      <c r="A18" t="s">
        <v>33</v>
      </c>
      <c r="B18" t="s">
        <v>35</v>
      </c>
      <c r="C18" t="s">
        <v>14</v>
      </c>
      <c r="D18">
        <v>50000</v>
      </c>
      <c r="E18" s="4">
        <f>D22/10000</f>
        <v>0</v>
      </c>
      <c r="F18" t="s">
        <v>36</v>
      </c>
    </row>
    <row r="19" spans="1:6">
      <c r="A19" t="s">
        <v>33</v>
      </c>
      <c r="B19" t="s">
        <v>37</v>
      </c>
      <c r="C19" t="s">
        <v>14</v>
      </c>
      <c r="D19">
        <v>30000</v>
      </c>
      <c r="E19" s="4">
        <f>D23/10000</f>
        <v>109.5</v>
      </c>
      <c r="F19" t="s">
        <v>11</v>
      </c>
    </row>
    <row r="20" spans="1:6">
      <c r="A20" t="s">
        <v>38</v>
      </c>
      <c r="B20" t="s">
        <v>39</v>
      </c>
      <c r="C20" t="s">
        <v>10</v>
      </c>
      <c r="D20">
        <v>100000</v>
      </c>
      <c r="E20" s="4">
        <f>D25/10000</f>
        <v>0</v>
      </c>
      <c r="F20" t="s">
        <v>11</v>
      </c>
    </row>
    <row r="21" spans="1:6">
      <c r="A21" t="s">
        <v>38</v>
      </c>
      <c r="B21" t="s">
        <v>40</v>
      </c>
      <c r="C21" t="s">
        <v>14</v>
      </c>
      <c r="D21">
        <v>50000</v>
      </c>
      <c r="E21" s="4" t="e">
        <f>D26/10000</f>
        <v>#VALUE!</v>
      </c>
      <c r="F21" t="s">
        <v>11</v>
      </c>
    </row>
    <row r="23" ht="15" spans="1:6">
      <c r="A23" t="s">
        <v>41</v>
      </c>
      <c r="D23" s="5">
        <f>SUM(D4:D22)</f>
        <v>1095000</v>
      </c>
    </row>
    <row r="25" ht="15" spans="1:6">
      <c r="A25" s="6" t="s">
        <v>42</v>
      </c>
    </row>
    <row r="26" spans="1:6">
      <c r="A26" t="s">
        <v>43</v>
      </c>
      <c r="D26" t="s">
        <v>44</v>
      </c>
    </row>
    <row r="27" spans="1:6">
      <c r="A27" t="s">
        <v>45</v>
      </c>
      <c r="D27" t="s">
        <v>46</v>
      </c>
    </row>
    <row r="28" spans="1:6">
      <c r="A28" t="s">
        <v>47</v>
      </c>
      <c r="D28" t="s">
        <v>48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启动预算计算器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朱@中国PDCPD产业联盟</cp:lastModifiedBy>
  <dcterms:created xsi:type="dcterms:W3CDTF">2026-05-07T18:13:00Z</dcterms:created>
  <dcterms:modified xsi:type="dcterms:W3CDTF">2026-05-08T00:37:31Z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1A65AA8527774C4ABB0CCAAD047E5522_12</vt:lpwstr>
  </property>
  <property fmtid="{D5CDD505-2E9C-101B-9397-08002B2CF9AE}" pid="3" name="KSOProductBuildVer">
    <vt:lpwstr>2052-12.1.0.22089</vt:lpwstr>
  </property>
</Properties>
</file>